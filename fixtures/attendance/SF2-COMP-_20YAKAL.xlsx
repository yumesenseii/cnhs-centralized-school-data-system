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jessica_ortega_deped_gov_ph/Documents/Desktop/CNHS/2025-2026/Yakal/SF/"/>
    </mc:Choice>
  </mc:AlternateContent>
  <xr:revisionPtr revIDLastSave="391" documentId="13_ncr:1_{4E481B85-EF24-493B-9875-40D902E03714}" xr6:coauthVersionLast="47" xr6:coauthVersionMax="47" xr10:uidLastSave="{DC4655C5-3C1D-4870-95D6-42B9708C8258}"/>
  <bookViews>
    <workbookView xWindow="-120" yWindow="-120" windowWidth="20730" windowHeight="11160" xr2:uid="{1743ED95-A25B-412C-A7ED-8DF9E56F4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C29" i="1"/>
  <c r="M12" i="1"/>
  <c r="H28" i="1"/>
  <c r="C40" i="1"/>
  <c r="C45" i="1" s="1"/>
  <c r="C46" i="1" s="1"/>
  <c r="H40" i="1"/>
  <c r="H45" i="1" s="1"/>
  <c r="H46" i="1" s="1"/>
  <c r="E39" i="1"/>
  <c r="E41" i="1"/>
  <c r="E42" i="1"/>
  <c r="J42" i="1"/>
  <c r="E43" i="1"/>
  <c r="C44" i="1"/>
  <c r="D44" i="1"/>
  <c r="H44" i="1"/>
  <c r="I44" i="1"/>
  <c r="J44" i="1"/>
  <c r="E47" i="1"/>
  <c r="J47" i="1"/>
  <c r="E48" i="1"/>
  <c r="J48" i="1"/>
  <c r="E49" i="1"/>
  <c r="J49" i="1"/>
  <c r="E50" i="1"/>
  <c r="J50" i="1"/>
  <c r="S27" i="1"/>
  <c r="R27" i="1"/>
  <c r="T26" i="1"/>
  <c r="T25" i="1"/>
  <c r="T24" i="1"/>
  <c r="T22" i="1"/>
  <c r="S23" i="1"/>
  <c r="S28" i="1" s="1"/>
  <c r="S29" i="1" s="1"/>
  <c r="R23" i="1"/>
  <c r="R28" i="1" s="1"/>
  <c r="R29" i="1" s="1"/>
  <c r="N27" i="1"/>
  <c r="M27" i="1"/>
  <c r="O26" i="1"/>
  <c r="O25" i="1"/>
  <c r="O24" i="1"/>
  <c r="O22" i="1"/>
  <c r="N23" i="1"/>
  <c r="M23" i="1"/>
  <c r="M28" i="1" s="1"/>
  <c r="M29" i="1" s="1"/>
  <c r="I27" i="1"/>
  <c r="H27" i="1"/>
  <c r="J26" i="1"/>
  <c r="J25" i="1"/>
  <c r="J24" i="1"/>
  <c r="J22" i="1"/>
  <c r="D27" i="1"/>
  <c r="C27" i="1"/>
  <c r="E26" i="1"/>
  <c r="E25" i="1"/>
  <c r="E24" i="1"/>
  <c r="E22" i="1"/>
  <c r="D23" i="1"/>
  <c r="D28" i="1" s="1"/>
  <c r="D29" i="1" s="1"/>
  <c r="C23" i="1"/>
  <c r="C28" i="1" s="1"/>
  <c r="S10" i="1"/>
  <c r="R10" i="1"/>
  <c r="T9" i="1"/>
  <c r="T8" i="1"/>
  <c r="T7" i="1"/>
  <c r="T5" i="1"/>
  <c r="S11" i="1"/>
  <c r="R6" i="1"/>
  <c r="R11" i="1" s="1"/>
  <c r="N10" i="1"/>
  <c r="M10" i="1"/>
  <c r="O9" i="1"/>
  <c r="O8" i="1"/>
  <c r="O7" i="1"/>
  <c r="O5" i="1"/>
  <c r="I4" i="1"/>
  <c r="I6" i="1" s="1"/>
  <c r="H4" i="1"/>
  <c r="H6" i="1" s="1"/>
  <c r="J5" i="1"/>
  <c r="I10" i="1"/>
  <c r="H10" i="1"/>
  <c r="E5" i="1"/>
  <c r="D6" i="1"/>
  <c r="C6" i="1"/>
  <c r="T33" i="1"/>
  <c r="T32" i="1"/>
  <c r="T31" i="1"/>
  <c r="T30" i="1"/>
  <c r="O33" i="1"/>
  <c r="O32" i="1"/>
  <c r="O31" i="1"/>
  <c r="O30" i="1"/>
  <c r="J33" i="1"/>
  <c r="J32" i="1"/>
  <c r="J31" i="1"/>
  <c r="J30" i="1"/>
  <c r="E33" i="1"/>
  <c r="E32" i="1"/>
  <c r="E31" i="1"/>
  <c r="E30" i="1"/>
  <c r="T16" i="1"/>
  <c r="T15" i="1"/>
  <c r="T14" i="1"/>
  <c r="T13" i="1"/>
  <c r="O16" i="1"/>
  <c r="O15" i="1"/>
  <c r="O14" i="1"/>
  <c r="O13" i="1"/>
  <c r="J16" i="1"/>
  <c r="J15" i="1"/>
  <c r="J14" i="1"/>
  <c r="J13" i="1"/>
  <c r="J9" i="1"/>
  <c r="J8" i="1"/>
  <c r="J7" i="1"/>
  <c r="E16" i="1"/>
  <c r="E15" i="1"/>
  <c r="E14" i="1"/>
  <c r="E13" i="1"/>
  <c r="D10" i="1"/>
  <c r="C10" i="1"/>
  <c r="E7" i="1"/>
  <c r="E9" i="1"/>
  <c r="E8" i="1"/>
  <c r="J38" i="1" l="1"/>
  <c r="T10" i="1"/>
  <c r="E38" i="1"/>
  <c r="E44" i="1"/>
  <c r="J27" i="1"/>
  <c r="T27" i="1"/>
  <c r="O27" i="1"/>
  <c r="E27" i="1"/>
  <c r="O10" i="1"/>
  <c r="I40" i="1"/>
  <c r="D40" i="1"/>
  <c r="D45" i="1" s="1"/>
  <c r="D46" i="1" s="1"/>
  <c r="J21" i="1"/>
  <c r="E21" i="1"/>
  <c r="C11" i="1"/>
  <c r="C12" i="1" s="1"/>
  <c r="I28" i="1"/>
  <c r="I29" i="1" s="1"/>
  <c r="T4" i="1"/>
  <c r="O4" i="1"/>
  <c r="N11" i="1"/>
  <c r="N12" i="1" s="1"/>
  <c r="T21" i="1"/>
  <c r="O23" i="1"/>
  <c r="O28" i="1" s="1"/>
  <c r="O29" i="1" s="1"/>
  <c r="N28" i="1"/>
  <c r="N29" i="1" s="1"/>
  <c r="O21" i="1"/>
  <c r="T23" i="1"/>
  <c r="T28" i="1" s="1"/>
  <c r="T29" i="1" s="1"/>
  <c r="E23" i="1"/>
  <c r="E28" i="1" s="1"/>
  <c r="E29" i="1" s="1"/>
  <c r="T6" i="1"/>
  <c r="T11" i="1" s="1"/>
  <c r="T12" i="1" s="1"/>
  <c r="J4" i="1"/>
  <c r="J6" i="1"/>
  <c r="J11" i="1" s="1"/>
  <c r="J12" i="1" s="1"/>
  <c r="D11" i="1"/>
  <c r="D12" i="1" s="1"/>
  <c r="I11" i="1"/>
  <c r="I12" i="1" s="1"/>
  <c r="H11" i="1"/>
  <c r="H12" i="1" s="1"/>
  <c r="E4" i="1"/>
  <c r="E6" i="1"/>
  <c r="E11" i="1" s="1"/>
  <c r="E12" i="1" s="1"/>
  <c r="J10" i="1"/>
  <c r="E10" i="1"/>
  <c r="E40" i="1" l="1"/>
  <c r="E45" i="1" s="1"/>
  <c r="E46" i="1" s="1"/>
  <c r="J40" i="1"/>
  <c r="J45" i="1" s="1"/>
  <c r="J46" i="1" s="1"/>
  <c r="I45" i="1"/>
  <c r="I46" i="1" s="1"/>
  <c r="J23" i="1"/>
  <c r="J28" i="1" s="1"/>
  <c r="J29" i="1" s="1"/>
  <c r="O6" i="1"/>
  <c r="O11" i="1" s="1"/>
  <c r="O12" i="1" s="1"/>
</calcChain>
</file>

<file path=xl/sharedStrings.xml><?xml version="1.0" encoding="utf-8"?>
<sst xmlns="http://schemas.openxmlformats.org/spreadsheetml/2006/main" count="171" uniqueCount="27">
  <si>
    <t>AUGUST</t>
  </si>
  <si>
    <t>First Friday</t>
  </si>
  <si>
    <t>M</t>
  </si>
  <si>
    <t>F</t>
  </si>
  <si>
    <t>Total</t>
  </si>
  <si>
    <t>Late</t>
  </si>
  <si>
    <t>End of the month</t>
  </si>
  <si>
    <t>Percentage</t>
  </si>
  <si>
    <t>ADA</t>
  </si>
  <si>
    <t>PA</t>
  </si>
  <si>
    <t>5 consecutive</t>
  </si>
  <si>
    <t>NLS</t>
  </si>
  <si>
    <t>TO</t>
  </si>
  <si>
    <t>TI</t>
  </si>
  <si>
    <t>Total Attendance</t>
  </si>
  <si>
    <t>OCTOBER</t>
  </si>
  <si>
    <t>NOVEMBER</t>
  </si>
  <si>
    <t>DECEMBER</t>
  </si>
  <si>
    <t>JANUARY</t>
  </si>
  <si>
    <t>FEBRUARY</t>
  </si>
  <si>
    <t>Total attendance of the month</t>
  </si>
  <si>
    <t>No. of absences</t>
  </si>
  <si>
    <t>JULY</t>
  </si>
  <si>
    <t>JUNE</t>
  </si>
  <si>
    <t xml:space="preserve">SEPTEMBER </t>
  </si>
  <si>
    <t xml:space="preserve">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</si>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</sst>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DC7D-BAC7-4A7C-B2A0-2DEC739C7FFF}">
  <sheetPr>
    <pageSetUpPr fitToPage="1"/>
  </sheetPr>
  <dimension ref="B2:T67"/>
  <sheetViews>
    <sheetView tabSelected="1" view="pageBreakPreview" zoomScale="60" zoomScaleNormal="130" workbookViewId="0">
      <selection activeCell="C1" sqref="C1"/>
    </sheetView>
  </sheetViews>
  <sheetFormatPr defaultRowHeight="15" x14ac:dyDescent="0.25"/>
  <cols>
    <col min="1" max="20" width="15.42578125" customWidth="1"/>
  </cols>
  <sheetData>
    <row r="2" spans="2:20" x14ac:dyDescent="0.25">
      <c r="B2" s="11" t="s">
        <v>23</v>
      </c>
      <c r="C2" s="11"/>
      <c r="D2" s="11"/>
      <c r="E2" s="1">
        <v>11</v>
      </c>
      <c r="G2" s="11" t="s">
        <v>22</v>
      </c>
      <c r="H2" s="11"/>
      <c r="I2" s="11"/>
      <c r="J2" s="1">
        <v>23</v>
      </c>
      <c r="L2" s="11" t="s">
        <v>0</v>
      </c>
      <c r="M2" s="11"/>
      <c r="N2" s="11"/>
      <c r="O2" s="1">
        <v>20</v>
      </c>
      <c r="Q2" s="11" t="s">
        <v>24</v>
      </c>
      <c r="R2" s="11"/>
      <c r="S2" s="11"/>
      <c r="T2" s="1">
        <v>22</v>
      </c>
    </row>
    <row r="3" spans="2:20" x14ac:dyDescent="0.25">
      <c r="B3" s="1"/>
      <c r="C3" s="1" t="s">
        <v>2</v>
      </c>
      <c r="D3" s="1" t="s">
        <v>3</v>
      </c>
      <c r="E3" s="1" t="s">
        <v>4</v>
      </c>
      <c r="G3" s="1"/>
      <c r="H3" s="1" t="s">
        <v>2</v>
      </c>
      <c r="I3" s="1" t="s">
        <v>3</v>
      </c>
      <c r="J3" s="1" t="s">
        <v>4</v>
      </c>
      <c r="L3" s="1"/>
      <c r="M3" s="1" t="s">
        <v>2</v>
      </c>
      <c r="N3" s="1" t="s">
        <v>3</v>
      </c>
      <c r="O3" s="1" t="s">
        <v>4</v>
      </c>
      <c r="Q3" s="1"/>
      <c r="R3" s="1" t="s">
        <v>2</v>
      </c>
      <c r="S3" s="1" t="s">
        <v>3</v>
      </c>
      <c r="T3" s="1" t="s">
        <v>4</v>
      </c>
    </row>
    <row r="4" spans="2:20" ht="45" x14ac:dyDescent="0.25">
      <c r="B4" s="2" t="s">
        <v>20</v>
      </c>
      <c r="C4" s="1">
        <v>220</v>
      </c>
      <c r="D4" s="1">
        <v>242</v>
      </c>
      <c r="E4" s="1">
        <f>D4+C4</f>
        <v>462</v>
      </c>
      <c r="G4" s="2" t="s">
        <v>20</v>
      </c>
      <c r="H4" s="3">
        <f>J2*H9</f>
        <v>460</v>
      </c>
      <c r="I4" s="3">
        <f>I9*J2</f>
        <v>506</v>
      </c>
      <c r="J4" s="3">
        <f>I4+H4</f>
        <v>966</v>
      </c>
      <c r="L4" s="2" t="s">
        <v>20</v>
      </c>
      <c r="M4" s="1">
        <v>400</v>
      </c>
      <c r="N4" s="1">
        <v>440</v>
      </c>
      <c r="O4" s="1">
        <f>N4+M4</f>
        <v>840</v>
      </c>
      <c r="Q4" s="2" t="s">
        <v>20</v>
      </c>
      <c r="R4" s="1">
        <v>418</v>
      </c>
      <c r="S4" s="1">
        <v>484</v>
      </c>
      <c r="T4" s="1">
        <f>S4+R4</f>
        <v>902</v>
      </c>
    </row>
    <row r="5" spans="2:20" x14ac:dyDescent="0.25">
      <c r="B5" s="6" t="s">
        <v>21</v>
      </c>
      <c r="C5" s="6">
        <v>0</v>
      </c>
      <c r="D5" s="6">
        <v>0</v>
      </c>
      <c r="E5" s="6">
        <f>D5+C5</f>
        <v>0</v>
      </c>
      <c r="F5" s="7"/>
      <c r="G5" s="6" t="s">
        <v>21</v>
      </c>
      <c r="H5" s="6">
        <v>0</v>
      </c>
      <c r="I5" s="6">
        <v>0</v>
      </c>
      <c r="J5" s="6">
        <f>I5+H5</f>
        <v>0</v>
      </c>
      <c r="K5" s="7"/>
      <c r="L5" s="6" t="s">
        <v>21</v>
      </c>
      <c r="M5" s="6">
        <v>45</v>
      </c>
      <c r="N5" s="6">
        <v>28</v>
      </c>
      <c r="O5" s="6">
        <f>N5+M5</f>
        <v>73</v>
      </c>
      <c r="P5" s="7"/>
      <c r="Q5" s="6" t="s">
        <v>21</v>
      </c>
      <c r="R5" s="6">
        <v>42</v>
      </c>
      <c r="S5" s="6">
        <v>30</v>
      </c>
      <c r="T5" s="6">
        <f>S5+R5</f>
        <v>72</v>
      </c>
    </row>
    <row r="6" spans="2:20" x14ac:dyDescent="0.25">
      <c r="B6" s="1" t="s">
        <v>14</v>
      </c>
      <c r="C6" s="1">
        <f>C4-C5</f>
        <v>220</v>
      </c>
      <c r="D6" s="1">
        <f>D4-D5</f>
        <v>242</v>
      </c>
      <c r="E6" s="1">
        <f>D6+C6</f>
        <v>462</v>
      </c>
      <c r="G6" s="1" t="s">
        <v>14</v>
      </c>
      <c r="H6" s="1">
        <f>H4-H5</f>
        <v>460</v>
      </c>
      <c r="I6" s="1">
        <f>I4-I5</f>
        <v>506</v>
      </c>
      <c r="J6" s="1">
        <f>I6+H6</f>
        <v>966</v>
      </c>
      <c r="L6" s="1" t="s">
        <v>14</v>
      </c>
      <c r="M6" s="1">
        <v>357</v>
      </c>
      <c r="N6" s="1">
        <v>416</v>
      </c>
      <c r="O6" s="1">
        <f>N6+M6</f>
        <v>773</v>
      </c>
      <c r="Q6" s="1" t="s">
        <v>14</v>
      </c>
      <c r="R6" s="1">
        <f>R4-R5</f>
        <v>376</v>
      </c>
      <c r="S6" s="1">
        <v>457</v>
      </c>
      <c r="T6" s="1">
        <f>S6+R6</f>
        <v>833</v>
      </c>
    </row>
    <row r="7" spans="2:20" x14ac:dyDescent="0.25">
      <c r="B7" s="6" t="s">
        <v>1</v>
      </c>
      <c r="C7" s="6">
        <v>20</v>
      </c>
      <c r="D7" s="6">
        <v>22</v>
      </c>
      <c r="E7" s="6">
        <f>C7+D7</f>
        <v>42</v>
      </c>
      <c r="F7" s="7"/>
      <c r="G7" s="6" t="s">
        <v>1</v>
      </c>
      <c r="H7" s="6">
        <v>20</v>
      </c>
      <c r="I7" s="6">
        <v>22</v>
      </c>
      <c r="J7" s="6">
        <f>H7+I7</f>
        <v>42</v>
      </c>
      <c r="K7" s="7"/>
      <c r="L7" s="6" t="s">
        <v>1</v>
      </c>
      <c r="M7" s="6">
        <v>20</v>
      </c>
      <c r="N7" s="6">
        <v>22</v>
      </c>
      <c r="O7" s="6">
        <f>M7+N7</f>
        <v>42</v>
      </c>
      <c r="P7" s="7"/>
      <c r="Q7" s="6" t="s">
        <v>1</v>
      </c>
      <c r="R7" s="6">
        <v>20</v>
      </c>
      <c r="S7" s="6">
        <v>22</v>
      </c>
      <c r="T7" s="6">
        <f>R7+S7</f>
        <v>42</v>
      </c>
    </row>
    <row r="8" spans="2:20" x14ac:dyDescent="0.25">
      <c r="B8" s="6" t="s">
        <v>5</v>
      </c>
      <c r="C8" s="6">
        <v>0</v>
      </c>
      <c r="D8" s="6">
        <v>0</v>
      </c>
      <c r="E8" s="6">
        <f>D8+C8</f>
        <v>0</v>
      </c>
      <c r="F8" s="7"/>
      <c r="G8" s="6" t="s">
        <v>5</v>
      </c>
      <c r="H8" s="6">
        <v>0</v>
      </c>
      <c r="I8" s="6">
        <v>0</v>
      </c>
      <c r="J8" s="6">
        <f>I8+H8</f>
        <v>0</v>
      </c>
      <c r="K8" s="7"/>
      <c r="L8" s="6" t="s">
        <v>5</v>
      </c>
      <c r="M8" s="6">
        <v>0</v>
      </c>
      <c r="N8" s="6">
        <v>0</v>
      </c>
      <c r="O8" s="6">
        <f>N8+M8</f>
        <v>0</v>
      </c>
      <c r="P8" s="7"/>
      <c r="Q8" s="6" t="s">
        <v>5</v>
      </c>
      <c r="R8" s="6">
        <v>0</v>
      </c>
      <c r="S8" s="6">
        <v>0</v>
      </c>
      <c r="T8" s="6">
        <f>S8+R8</f>
        <v>0</v>
      </c>
    </row>
    <row r="9" spans="2:20" x14ac:dyDescent="0.25">
      <c r="B9" s="6" t="s">
        <v>6</v>
      </c>
      <c r="C9" s="6">
        <v>20</v>
      </c>
      <c r="D9" s="6">
        <v>22</v>
      </c>
      <c r="E9" s="6">
        <f>C9+D9</f>
        <v>42</v>
      </c>
      <c r="F9" s="7"/>
      <c r="G9" s="6" t="s">
        <v>6</v>
      </c>
      <c r="H9" s="6">
        <v>20</v>
      </c>
      <c r="I9" s="6">
        <v>22</v>
      </c>
      <c r="J9" s="6">
        <f>H9+I9</f>
        <v>42</v>
      </c>
      <c r="K9" s="7"/>
      <c r="L9" s="6" t="s">
        <v>6</v>
      </c>
      <c r="M9" s="6">
        <v>19</v>
      </c>
      <c r="N9" s="6">
        <v>22</v>
      </c>
      <c r="O9" s="6">
        <f>M9+N9</f>
        <v>41</v>
      </c>
      <c r="P9" s="7"/>
      <c r="Q9" s="6" t="s">
        <v>6</v>
      </c>
      <c r="R9" s="6">
        <v>19</v>
      </c>
      <c r="S9" s="6">
        <v>21</v>
      </c>
      <c r="T9" s="6">
        <f>R9+S9</f>
        <v>40</v>
      </c>
    </row>
    <row r="10" spans="2:20" x14ac:dyDescent="0.25">
      <c r="B10" s="1" t="s">
        <v>7</v>
      </c>
      <c r="C10" s="1">
        <f>(C9/C7)*100</f>
        <v>100</v>
      </c>
      <c r="D10" s="1">
        <f>(D9/D7)*100</f>
        <v>100</v>
      </c>
      <c r="E10" s="1">
        <f>(E9/E7)*100</f>
        <v>100</v>
      </c>
      <c r="G10" s="1" t="s">
        <v>7</v>
      </c>
      <c r="H10" s="1">
        <f>(H9/H7)*100</f>
        <v>100</v>
      </c>
      <c r="I10" s="1">
        <f>(I9/I7)*100</f>
        <v>100</v>
      </c>
      <c r="J10" s="1">
        <f>(J9/J7)*100</f>
        <v>100</v>
      </c>
      <c r="L10" s="1" t="s">
        <v>7</v>
      </c>
      <c r="M10" s="1">
        <f>(M9/M7)*100</f>
        <v>95</v>
      </c>
      <c r="N10" s="1">
        <f>(N9/N7)*100</f>
        <v>100</v>
      </c>
      <c r="O10" s="1">
        <f>(O9/O7)*100</f>
        <v>97.61904761904762</v>
      </c>
      <c r="Q10" s="1" t="s">
        <v>7</v>
      </c>
      <c r="R10" s="1">
        <f>(R9/R7)*100</f>
        <v>95</v>
      </c>
      <c r="S10" s="1">
        <f>(S9/S7)*100</f>
        <v>95.454545454545453</v>
      </c>
      <c r="T10" s="1">
        <f>(T9/T7)*100</f>
        <v>95.238095238095227</v>
      </c>
    </row>
    <row r="11" spans="2:20" x14ac:dyDescent="0.25">
      <c r="B11" s="1" t="s">
        <v>8</v>
      </c>
      <c r="C11" s="1">
        <f>C6/E2</f>
        <v>20</v>
      </c>
      <c r="D11" s="1">
        <f>D6/E2</f>
        <v>22</v>
      </c>
      <c r="E11" s="1">
        <f>E6/E2</f>
        <v>42</v>
      </c>
      <c r="G11" s="1" t="s">
        <v>8</v>
      </c>
      <c r="H11" s="1">
        <f>H6/J2</f>
        <v>20</v>
      </c>
      <c r="I11" s="1">
        <f>I6/J2</f>
        <v>22</v>
      </c>
      <c r="J11" s="1">
        <f>J6/J2</f>
        <v>42</v>
      </c>
      <c r="L11" s="1" t="s">
        <v>8</v>
      </c>
      <c r="M11" s="1">
        <v>18.7895</v>
      </c>
      <c r="N11" s="1">
        <f>N6/O2</f>
        <v>20.8</v>
      </c>
      <c r="O11" s="1">
        <f>O6/O2</f>
        <v>38.65</v>
      </c>
      <c r="Q11" s="1" t="s">
        <v>8</v>
      </c>
      <c r="R11" s="1">
        <f>R6/T2</f>
        <v>17.09090909090909</v>
      </c>
      <c r="S11" s="1">
        <f>S6/T2</f>
        <v>20.772727272727273</v>
      </c>
      <c r="T11" s="1">
        <f>T6/T2</f>
        <v>37.863636363636367</v>
      </c>
    </row>
    <row r="12" spans="2:20" x14ac:dyDescent="0.25">
      <c r="B12" s="1" t="s">
        <v>9</v>
      </c>
      <c r="C12" s="1">
        <f>(C11/C7)*100</f>
        <v>100</v>
      </c>
      <c r="D12" s="1">
        <f>(D11/D9)*100</f>
        <v>100</v>
      </c>
      <c r="E12" s="1">
        <f>(E11/E9)*100</f>
        <v>100</v>
      </c>
      <c r="G12" s="1" t="s">
        <v>9</v>
      </c>
      <c r="H12" s="1">
        <f>(H11/H7)*100</f>
        <v>100</v>
      </c>
      <c r="I12" s="1">
        <f>(I11/I9)*100</f>
        <v>100</v>
      </c>
      <c r="J12" s="1">
        <f>(J11/J9)*100</f>
        <v>100</v>
      </c>
      <c r="L12" s="1" t="s">
        <v>9</v>
      </c>
      <c r="M12" s="1">
        <f>(M11/M9)*100</f>
        <v>98.892105263157887</v>
      </c>
      <c r="N12" s="1">
        <f>(N11/N9)*100</f>
        <v>94.545454545454547</v>
      </c>
      <c r="O12" s="1">
        <f>(O11/O9)*100</f>
        <v>94.268292682926827</v>
      </c>
      <c r="Q12" s="1" t="s">
        <v>9</v>
      </c>
      <c r="R12" s="1">
        <v>89.952100000000002</v>
      </c>
      <c r="S12" s="1">
        <v>95.671000000000006</v>
      </c>
      <c r="T12" s="1">
        <f>(T11/T9)*100</f>
        <v>94.659090909090921</v>
      </c>
    </row>
    <row r="13" spans="2:20" x14ac:dyDescent="0.25">
      <c r="B13" s="1" t="s">
        <v>10</v>
      </c>
      <c r="C13" s="1">
        <v>0</v>
      </c>
      <c r="D13" s="1">
        <v>0</v>
      </c>
      <c r="E13" s="1">
        <f>D13+C13</f>
        <v>0</v>
      </c>
      <c r="G13" s="1" t="s">
        <v>10</v>
      </c>
      <c r="H13" s="1">
        <v>0</v>
      </c>
      <c r="I13" s="1">
        <v>0</v>
      </c>
      <c r="J13" s="1">
        <f>I13+H13</f>
        <v>0</v>
      </c>
      <c r="L13" s="1" t="s">
        <v>10</v>
      </c>
      <c r="M13" s="1">
        <v>0</v>
      </c>
      <c r="N13" s="1">
        <v>0</v>
      </c>
      <c r="O13" s="1">
        <f>N13+M13</f>
        <v>0</v>
      </c>
      <c r="Q13" s="1" t="s">
        <v>10</v>
      </c>
      <c r="R13" s="1">
        <v>0</v>
      </c>
      <c r="S13" s="1">
        <v>0</v>
      </c>
      <c r="T13" s="1">
        <f>S13+R13</f>
        <v>0</v>
      </c>
    </row>
    <row r="14" spans="2:20" x14ac:dyDescent="0.25">
      <c r="B14" s="1" t="s">
        <v>11</v>
      </c>
      <c r="C14" s="1">
        <v>0</v>
      </c>
      <c r="D14" s="1">
        <v>0</v>
      </c>
      <c r="E14" s="1">
        <f>C14+D14</f>
        <v>0</v>
      </c>
      <c r="G14" s="1" t="s">
        <v>11</v>
      </c>
      <c r="H14" s="1">
        <v>0</v>
      </c>
      <c r="I14" s="1">
        <v>0</v>
      </c>
      <c r="J14" s="1">
        <f>H14+I14</f>
        <v>0</v>
      </c>
      <c r="L14" s="1" t="s">
        <v>11</v>
      </c>
      <c r="M14" s="1">
        <v>0</v>
      </c>
      <c r="N14" s="1">
        <v>0</v>
      </c>
      <c r="O14" s="1">
        <f>M14+N14</f>
        <v>0</v>
      </c>
      <c r="Q14" s="1" t="s">
        <v>11</v>
      </c>
      <c r="R14" s="1">
        <v>0</v>
      </c>
      <c r="S14" s="1">
        <v>0</v>
      </c>
      <c r="T14" s="1">
        <f>R14+S14</f>
        <v>0</v>
      </c>
    </row>
    <row r="15" spans="2:20" x14ac:dyDescent="0.25">
      <c r="B15" s="1" t="s">
        <v>12</v>
      </c>
      <c r="C15" s="1">
        <v>0</v>
      </c>
      <c r="D15" s="1">
        <v>0</v>
      </c>
      <c r="E15" s="1">
        <f>D15+C15</f>
        <v>0</v>
      </c>
      <c r="G15" s="1" t="s">
        <v>12</v>
      </c>
      <c r="H15" s="1">
        <v>0</v>
      </c>
      <c r="I15" s="1">
        <v>0</v>
      </c>
      <c r="J15" s="1">
        <f>I15+H15</f>
        <v>0</v>
      </c>
      <c r="L15" s="1" t="s">
        <v>12</v>
      </c>
      <c r="M15" s="1">
        <v>1</v>
      </c>
      <c r="N15" s="1">
        <v>0</v>
      </c>
      <c r="O15" s="1">
        <f>N15+M15</f>
        <v>1</v>
      </c>
      <c r="Q15" s="1" t="s">
        <v>12</v>
      </c>
      <c r="R15" s="1">
        <v>0</v>
      </c>
      <c r="S15" s="1">
        <v>1</v>
      </c>
      <c r="T15" s="1">
        <f>S15+R15</f>
        <v>1</v>
      </c>
    </row>
    <row r="16" spans="2:20" x14ac:dyDescent="0.25">
      <c r="B16" s="1" t="s">
        <v>13</v>
      </c>
      <c r="C16" s="1">
        <v>0</v>
      </c>
      <c r="D16" s="1">
        <v>0</v>
      </c>
      <c r="E16" s="1">
        <f>C16+D16</f>
        <v>0</v>
      </c>
      <c r="G16" s="1" t="s">
        <v>13</v>
      </c>
      <c r="H16" s="1">
        <v>0</v>
      </c>
      <c r="I16" s="1">
        <v>0</v>
      </c>
      <c r="J16" s="1">
        <f>H16+I16</f>
        <v>0</v>
      </c>
      <c r="L16" s="1" t="s">
        <v>13</v>
      </c>
      <c r="M16" s="1">
        <v>0</v>
      </c>
      <c r="N16" s="1">
        <v>0</v>
      </c>
      <c r="O16" s="1">
        <f>M16+N16</f>
        <v>0</v>
      </c>
      <c r="Q16" s="1" t="s">
        <v>13</v>
      </c>
      <c r="R16" s="1">
        <v>0</v>
      </c>
      <c r="S16" s="1">
        <v>0</v>
      </c>
      <c r="T16" s="1">
        <f>R16+S16</f>
        <v>0</v>
      </c>
    </row>
    <row r="19" spans="2:20" x14ac:dyDescent="0.25">
      <c r="B19" s="11" t="s">
        <v>15</v>
      </c>
      <c r="C19" s="11"/>
      <c r="D19" s="11"/>
      <c r="E19" s="1">
        <v>23</v>
      </c>
      <c r="G19" s="11" t="s">
        <v>16</v>
      </c>
      <c r="H19" s="11"/>
      <c r="I19" s="11"/>
      <c r="J19" s="1">
        <v>21</v>
      </c>
      <c r="L19" s="11" t="s">
        <v>17</v>
      </c>
      <c r="M19" s="11"/>
      <c r="N19" s="11"/>
      <c r="O19" s="1">
        <v>14</v>
      </c>
      <c r="Q19" s="11" t="s">
        <v>18</v>
      </c>
      <c r="R19" s="11"/>
      <c r="S19" s="11"/>
      <c r="T19" s="1">
        <v>21</v>
      </c>
    </row>
    <row r="20" spans="2:20" x14ac:dyDescent="0.25">
      <c r="B20" s="1"/>
      <c r="C20" s="1" t="s">
        <v>2</v>
      </c>
      <c r="D20" s="1" t="s">
        <v>3</v>
      </c>
      <c r="E20" s="1" t="s">
        <v>4</v>
      </c>
      <c r="G20" s="1"/>
      <c r="H20" s="1" t="s">
        <v>2</v>
      </c>
      <c r="I20" s="1" t="s">
        <v>3</v>
      </c>
      <c r="J20" s="1" t="s">
        <v>4</v>
      </c>
      <c r="L20" s="1"/>
      <c r="M20" s="1" t="s">
        <v>2</v>
      </c>
      <c r="N20" s="1" t="s">
        <v>3</v>
      </c>
      <c r="O20" s="1" t="s">
        <v>4</v>
      </c>
      <c r="Q20" s="1"/>
      <c r="R20" s="1" t="s">
        <v>2</v>
      </c>
      <c r="S20" s="1" t="s">
        <v>3</v>
      </c>
      <c r="T20" s="1" t="s">
        <v>4</v>
      </c>
    </row>
    <row r="21" spans="2:20" ht="45" x14ac:dyDescent="0.25">
      <c r="B21" s="2" t="s">
        <v>20</v>
      </c>
      <c r="C21" s="1">
        <v>437</v>
      </c>
      <c r="D21" s="1">
        <v>483</v>
      </c>
      <c r="E21" s="1">
        <f>D21+C21</f>
        <v>920</v>
      </c>
      <c r="G21" s="2" t="s">
        <v>20</v>
      </c>
      <c r="H21" s="1">
        <v>378</v>
      </c>
      <c r="I21" s="1">
        <v>441</v>
      </c>
      <c r="J21" s="1">
        <f>I21+H21</f>
        <v>819</v>
      </c>
      <c r="L21" s="2" t="s">
        <v>20</v>
      </c>
      <c r="M21" s="1">
        <v>252</v>
      </c>
      <c r="N21" s="1">
        <v>294</v>
      </c>
      <c r="O21" s="1">
        <f>N21+M21</f>
        <v>546</v>
      </c>
      <c r="Q21" s="2" t="s">
        <v>20</v>
      </c>
      <c r="R21" s="1">
        <v>378</v>
      </c>
      <c r="S21" s="1">
        <v>441</v>
      </c>
      <c r="T21" s="1">
        <f>S21+R21</f>
        <v>819</v>
      </c>
    </row>
    <row r="22" spans="2:20" x14ac:dyDescent="0.25">
      <c r="B22" s="6" t="s">
        <v>21</v>
      </c>
      <c r="C22" s="6">
        <v>54</v>
      </c>
      <c r="D22" s="6">
        <v>22</v>
      </c>
      <c r="E22" s="6">
        <f>D22+C22</f>
        <v>76</v>
      </c>
      <c r="F22" s="7"/>
      <c r="G22" s="6" t="s">
        <v>21</v>
      </c>
      <c r="H22" s="6">
        <v>37</v>
      </c>
      <c r="I22" s="6">
        <v>25</v>
      </c>
      <c r="J22" s="6">
        <f>I22+H22</f>
        <v>62</v>
      </c>
      <c r="K22" s="7"/>
      <c r="L22" s="6" t="s">
        <v>21</v>
      </c>
      <c r="M22" s="6">
        <v>0</v>
      </c>
      <c r="N22" s="6">
        <v>0</v>
      </c>
      <c r="O22" s="6">
        <f>N22+M22</f>
        <v>0</v>
      </c>
      <c r="P22" s="7"/>
      <c r="Q22" s="6" t="s">
        <v>21</v>
      </c>
      <c r="R22" s="6">
        <v>0</v>
      </c>
      <c r="S22" s="6">
        <v>0</v>
      </c>
      <c r="T22" s="6">
        <f>S22+R22</f>
        <v>0</v>
      </c>
    </row>
    <row r="23" spans="2:20" x14ac:dyDescent="0.25">
      <c r="B23" s="1" t="s">
        <v>14</v>
      </c>
      <c r="C23" s="1">
        <f>C21-C22</f>
        <v>383</v>
      </c>
      <c r="D23" s="1">
        <f>D21-D22</f>
        <v>461</v>
      </c>
      <c r="E23" s="1">
        <f>D23+C23</f>
        <v>844</v>
      </c>
      <c r="G23" s="1" t="s">
        <v>14</v>
      </c>
      <c r="H23" s="1">
        <v>341</v>
      </c>
      <c r="I23" s="1">
        <v>416</v>
      </c>
      <c r="J23" s="1">
        <f>I23+H23</f>
        <v>757</v>
      </c>
      <c r="L23" s="1" t="s">
        <v>14</v>
      </c>
      <c r="M23" s="1">
        <f>M21-M22</f>
        <v>252</v>
      </c>
      <c r="N23" s="1">
        <f>N21-N22</f>
        <v>294</v>
      </c>
      <c r="O23" s="1">
        <f>N23+M23</f>
        <v>546</v>
      </c>
      <c r="Q23" s="1" t="s">
        <v>14</v>
      </c>
      <c r="R23" s="1">
        <f>R21-R22</f>
        <v>378</v>
      </c>
      <c r="S23" s="1">
        <f>S21-S22</f>
        <v>441</v>
      </c>
      <c r="T23" s="1">
        <f>S23+R23</f>
        <v>819</v>
      </c>
    </row>
    <row r="24" spans="2:20" x14ac:dyDescent="0.25">
      <c r="B24" s="6" t="s">
        <v>1</v>
      </c>
      <c r="C24" s="6">
        <v>20</v>
      </c>
      <c r="D24" s="6">
        <v>22</v>
      </c>
      <c r="E24" s="6">
        <f>C24+D24</f>
        <v>42</v>
      </c>
      <c r="F24" s="7"/>
      <c r="G24" s="6" t="s">
        <v>1</v>
      </c>
      <c r="H24" s="6">
        <v>20</v>
      </c>
      <c r="I24" s="6">
        <v>22</v>
      </c>
      <c r="J24" s="6">
        <f>H24+I24</f>
        <v>42</v>
      </c>
      <c r="K24" s="7"/>
      <c r="L24" s="6" t="s">
        <v>1</v>
      </c>
      <c r="M24" s="6">
        <v>20</v>
      </c>
      <c r="N24" s="6">
        <v>22</v>
      </c>
      <c r="O24" s="6">
        <f>M24+N24</f>
        <v>42</v>
      </c>
      <c r="P24" s="7"/>
      <c r="Q24" s="6" t="s">
        <v>1</v>
      </c>
      <c r="R24" s="6">
        <v>20</v>
      </c>
      <c r="S24" s="6">
        <v>22</v>
      </c>
      <c r="T24" s="6">
        <f>R24+S24</f>
        <v>42</v>
      </c>
    </row>
    <row r="25" spans="2:20" x14ac:dyDescent="0.25">
      <c r="B25" s="6" t="s">
        <v>5</v>
      </c>
      <c r="C25" s="6">
        <v>0</v>
      </c>
      <c r="D25" s="6">
        <v>0</v>
      </c>
      <c r="E25" s="6">
        <f>D25+C25</f>
        <v>0</v>
      </c>
      <c r="F25" s="7"/>
      <c r="G25" s="6" t="s">
        <v>5</v>
      </c>
      <c r="H25" s="6">
        <v>1</v>
      </c>
      <c r="I25" s="6">
        <v>0</v>
      </c>
      <c r="J25" s="6">
        <f>I25+H25</f>
        <v>1</v>
      </c>
      <c r="K25" s="7"/>
      <c r="L25" s="6" t="s">
        <v>5</v>
      </c>
      <c r="M25" s="6">
        <v>0</v>
      </c>
      <c r="N25" s="6">
        <v>3</v>
      </c>
      <c r="O25" s="6">
        <f>N25+M25</f>
        <v>3</v>
      </c>
      <c r="P25" s="7"/>
      <c r="Q25" s="6" t="s">
        <v>5</v>
      </c>
      <c r="R25" s="6">
        <v>0</v>
      </c>
      <c r="S25" s="6">
        <v>0</v>
      </c>
      <c r="T25" s="6">
        <f>S25+R25</f>
        <v>0</v>
      </c>
    </row>
    <row r="26" spans="2:20" x14ac:dyDescent="0.25">
      <c r="B26" s="6" t="s">
        <v>6</v>
      </c>
      <c r="C26" s="6">
        <v>17</v>
      </c>
      <c r="D26" s="6">
        <v>21</v>
      </c>
      <c r="E26" s="6">
        <f>C26+D26</f>
        <v>38</v>
      </c>
      <c r="F26" s="7"/>
      <c r="G26" s="6" t="s">
        <v>6</v>
      </c>
      <c r="H26" s="6">
        <v>18</v>
      </c>
      <c r="I26" s="6">
        <v>21</v>
      </c>
      <c r="J26" s="6">
        <f>H26+I26</f>
        <v>39</v>
      </c>
      <c r="K26" s="7"/>
      <c r="L26" s="6" t="s">
        <v>6</v>
      </c>
      <c r="M26" s="6">
        <v>18</v>
      </c>
      <c r="N26" s="6">
        <v>21</v>
      </c>
      <c r="O26" s="6">
        <f>M26+N26</f>
        <v>39</v>
      </c>
      <c r="P26" s="7"/>
      <c r="Q26" s="6" t="s">
        <v>6</v>
      </c>
      <c r="R26" s="6">
        <v>18</v>
      </c>
      <c r="S26" s="6">
        <v>21</v>
      </c>
      <c r="T26" s="6">
        <f>R26+S26</f>
        <v>39</v>
      </c>
    </row>
    <row r="27" spans="2:20" x14ac:dyDescent="0.25">
      <c r="B27" s="1" t="s">
        <v>7</v>
      </c>
      <c r="C27" s="1">
        <f>(C26/C24)*100</f>
        <v>85</v>
      </c>
      <c r="D27" s="1">
        <f>(D26/D24)*100</f>
        <v>95.454545454545453</v>
      </c>
      <c r="E27" s="1">
        <f>(E26/E24)*100</f>
        <v>90.476190476190482</v>
      </c>
      <c r="G27" s="1" t="s">
        <v>7</v>
      </c>
      <c r="H27" s="1">
        <f>(H26/H24)*100</f>
        <v>90</v>
      </c>
      <c r="I27" s="1">
        <f>(I26/I24)*100</f>
        <v>95.454545454545453</v>
      </c>
      <c r="J27" s="1">
        <f>(J26/J24)*100</f>
        <v>92.857142857142861</v>
      </c>
      <c r="L27" s="1" t="s">
        <v>7</v>
      </c>
      <c r="M27" s="1">
        <f>(M26/M24)*100</f>
        <v>90</v>
      </c>
      <c r="N27" s="1">
        <f>(N26/N24)*100</f>
        <v>95.454545454545453</v>
      </c>
      <c r="O27" s="1">
        <f>(O26/O24)*100</f>
        <v>92.857142857142861</v>
      </c>
      <c r="Q27" s="1" t="s">
        <v>7</v>
      </c>
      <c r="R27" s="1">
        <f>(R26/R24)*100</f>
        <v>90</v>
      </c>
      <c r="S27" s="1">
        <f>(S26/S24)*100</f>
        <v>95.454545454545453</v>
      </c>
      <c r="T27" s="1">
        <f>(T26/T24)*100</f>
        <v>92.857142857142861</v>
      </c>
    </row>
    <row r="28" spans="2:20" x14ac:dyDescent="0.25">
      <c r="B28" s="1" t="s">
        <v>8</v>
      </c>
      <c r="C28" s="1">
        <f>C23/E19</f>
        <v>16.652173913043477</v>
      </c>
      <c r="D28" s="1">
        <f>D23/E19</f>
        <v>20.043478260869566</v>
      </c>
      <c r="E28" s="1">
        <f>E23/E19</f>
        <v>36.695652173913047</v>
      </c>
      <c r="G28" s="1" t="s">
        <v>8</v>
      </c>
      <c r="H28" s="1">
        <f>H23/J19</f>
        <v>16.238095238095237</v>
      </c>
      <c r="I28" s="1">
        <f>I23/J19</f>
        <v>19.80952380952381</v>
      </c>
      <c r="J28" s="1">
        <f>J23/J19</f>
        <v>36.047619047619051</v>
      </c>
      <c r="L28" s="1" t="s">
        <v>8</v>
      </c>
      <c r="M28" s="1">
        <f>M23/O19</f>
        <v>18</v>
      </c>
      <c r="N28" s="1">
        <f>N23/O19</f>
        <v>21</v>
      </c>
      <c r="O28" s="1">
        <f>O23/O19</f>
        <v>39</v>
      </c>
      <c r="Q28" s="1" t="s">
        <v>8</v>
      </c>
      <c r="R28" s="1">
        <f>R23/T19</f>
        <v>18</v>
      </c>
      <c r="S28" s="1">
        <f>S23/T19</f>
        <v>21</v>
      </c>
      <c r="T28" s="1">
        <f>T23/T19</f>
        <v>39</v>
      </c>
    </row>
    <row r="29" spans="2:20" x14ac:dyDescent="0.25">
      <c r="B29" s="1" t="s">
        <v>9</v>
      </c>
      <c r="C29" s="1">
        <f>(C28/C26)*100</f>
        <v>97.953964194373384</v>
      </c>
      <c r="D29" s="1">
        <f>(D28/D26)*100</f>
        <v>95.445134575569369</v>
      </c>
      <c r="E29" s="1">
        <f>(E28/E26)*100</f>
        <v>96.567505720823803</v>
      </c>
      <c r="G29" s="1" t="s">
        <v>9</v>
      </c>
      <c r="H29" s="1">
        <f>(H28/H26)*100</f>
        <v>90.211640211640216</v>
      </c>
      <c r="I29" s="1">
        <f>(I28/I26)*100</f>
        <v>94.331065759637184</v>
      </c>
      <c r="J29" s="1">
        <f>(J28/J26)*100</f>
        <v>92.429792429792428</v>
      </c>
      <c r="L29" s="1" t="s">
        <v>9</v>
      </c>
      <c r="M29" s="1">
        <f>(M28/M24)*100</f>
        <v>90</v>
      </c>
      <c r="N29" s="1">
        <f>(N28/N26)*100</f>
        <v>100</v>
      </c>
      <c r="O29" s="1">
        <f>(O28/O26)*100</f>
        <v>100</v>
      </c>
      <c r="Q29" s="1" t="s">
        <v>9</v>
      </c>
      <c r="R29" s="1">
        <f>(R28/R24)*100</f>
        <v>90</v>
      </c>
      <c r="S29" s="1">
        <f>(S28/S26)*100</f>
        <v>100</v>
      </c>
      <c r="T29" s="1">
        <f>(T28/T26)*100</f>
        <v>100</v>
      </c>
    </row>
    <row r="30" spans="2:20" x14ac:dyDescent="0.25">
      <c r="B30" s="1" t="s">
        <v>10</v>
      </c>
      <c r="C30" s="1">
        <v>2</v>
      </c>
      <c r="D30" s="1">
        <v>0</v>
      </c>
      <c r="E30" s="1">
        <f>D30+C30</f>
        <v>2</v>
      </c>
      <c r="G30" s="1" t="s">
        <v>10</v>
      </c>
      <c r="H30" s="1">
        <v>0</v>
      </c>
      <c r="I30" s="1">
        <v>0</v>
      </c>
      <c r="J30" s="1">
        <f>I30+H30</f>
        <v>0</v>
      </c>
      <c r="L30" s="1" t="s">
        <v>10</v>
      </c>
      <c r="M30" s="1">
        <v>0</v>
      </c>
      <c r="N30" s="1">
        <v>0</v>
      </c>
      <c r="O30" s="1">
        <f>N30+M30</f>
        <v>0</v>
      </c>
      <c r="Q30" s="1" t="s">
        <v>10</v>
      </c>
      <c r="R30" s="1">
        <v>0</v>
      </c>
      <c r="S30" s="1">
        <v>0</v>
      </c>
      <c r="T30" s="1">
        <f>S30+R30</f>
        <v>0</v>
      </c>
    </row>
    <row r="31" spans="2:20" x14ac:dyDescent="0.25">
      <c r="B31" s="1" t="s">
        <v>11</v>
      </c>
      <c r="C31" s="1">
        <v>2</v>
      </c>
      <c r="D31" s="1">
        <v>0</v>
      </c>
      <c r="E31" s="1">
        <f>C31+D31</f>
        <v>2</v>
      </c>
      <c r="G31" s="1" t="s">
        <v>11</v>
      </c>
      <c r="H31" s="1">
        <v>0</v>
      </c>
      <c r="I31" s="1">
        <v>0</v>
      </c>
      <c r="J31" s="1">
        <f>H31+I31</f>
        <v>0</v>
      </c>
      <c r="L31" s="1" t="s">
        <v>11</v>
      </c>
      <c r="M31" s="1">
        <v>0</v>
      </c>
      <c r="N31" s="1">
        <v>0</v>
      </c>
      <c r="O31" s="1">
        <f>M31+N31</f>
        <v>0</v>
      </c>
      <c r="Q31" s="1" t="s">
        <v>11</v>
      </c>
      <c r="R31" s="1">
        <v>0</v>
      </c>
      <c r="S31" s="1">
        <v>0</v>
      </c>
      <c r="T31" s="1">
        <f>R31+S31</f>
        <v>0</v>
      </c>
    </row>
    <row r="32" spans="2:20" x14ac:dyDescent="0.25">
      <c r="B32" s="1" t="s">
        <v>12</v>
      </c>
      <c r="C32" s="1">
        <v>0</v>
      </c>
      <c r="D32" s="1">
        <v>0</v>
      </c>
      <c r="E32" s="1">
        <f>D32+C32</f>
        <v>0</v>
      </c>
      <c r="G32" s="1" t="s">
        <v>12</v>
      </c>
      <c r="H32" s="1">
        <v>0</v>
      </c>
      <c r="I32" s="1">
        <v>0</v>
      </c>
      <c r="J32" s="1">
        <f>I32+H32</f>
        <v>0</v>
      </c>
      <c r="L32" s="1" t="s">
        <v>12</v>
      </c>
      <c r="M32" s="1">
        <v>0</v>
      </c>
      <c r="N32" s="1">
        <v>0</v>
      </c>
      <c r="O32" s="1">
        <f>N32+M32</f>
        <v>0</v>
      </c>
      <c r="Q32" s="1" t="s">
        <v>12</v>
      </c>
      <c r="R32" s="1">
        <v>0</v>
      </c>
      <c r="S32" s="1">
        <v>0</v>
      </c>
      <c r="T32" s="1">
        <f>S32+R32</f>
        <v>0</v>
      </c>
    </row>
    <row r="33" spans="2:20" x14ac:dyDescent="0.25">
      <c r="B33" s="1" t="s">
        <v>13</v>
      </c>
      <c r="C33" s="1">
        <v>0</v>
      </c>
      <c r="D33" s="1">
        <v>0</v>
      </c>
      <c r="E33" s="1">
        <f>C33+D33</f>
        <v>0</v>
      </c>
      <c r="G33" s="1" t="s">
        <v>13</v>
      </c>
      <c r="H33" s="1">
        <v>1</v>
      </c>
      <c r="I33" s="1">
        <v>0</v>
      </c>
      <c r="J33" s="1">
        <f>H33+I33</f>
        <v>1</v>
      </c>
      <c r="L33" s="1" t="s">
        <v>13</v>
      </c>
      <c r="M33" s="1">
        <v>0</v>
      </c>
      <c r="N33" s="1">
        <v>0</v>
      </c>
      <c r="O33" s="1">
        <f>M33+N33</f>
        <v>0</v>
      </c>
      <c r="Q33" s="1" t="s">
        <v>13</v>
      </c>
      <c r="R33" s="1">
        <v>0</v>
      </c>
      <c r="S33" s="1">
        <v>0</v>
      </c>
      <c r="T33" s="1">
        <f>R33+S33</f>
        <v>0</v>
      </c>
    </row>
    <row r="35" spans="2:20" x14ac:dyDescent="0.25">
      <c r="H35" t="s">
        <v>25</v>
      </c>
    </row>
    <row r="36" spans="2:20" x14ac:dyDescent="0.25">
      <c r="B36" s="11" t="s">
        <v>19</v>
      </c>
      <c r="C36" s="11"/>
      <c r="D36" s="11"/>
      <c r="E36" s="1">
        <v>19</v>
      </c>
      <c r="G36" s="12" t="s">
        <v>26</v>
      </c>
      <c r="H36" s="12"/>
      <c r="I36" s="12"/>
      <c r="J36" s="8">
        <v>23</v>
      </c>
      <c r="L36" s="10"/>
      <c r="M36" s="10"/>
      <c r="N36" s="10"/>
      <c r="O36" s="4"/>
      <c r="Q36" s="10"/>
      <c r="R36" s="10"/>
      <c r="S36" s="10"/>
      <c r="T36" s="4"/>
    </row>
    <row r="37" spans="2:20" x14ac:dyDescent="0.25">
      <c r="B37" s="1"/>
      <c r="C37" s="1" t="s">
        <v>2</v>
      </c>
      <c r="D37" s="1" t="s">
        <v>3</v>
      </c>
      <c r="E37" s="1" t="s">
        <v>4</v>
      </c>
      <c r="G37" s="8"/>
      <c r="H37" s="8" t="s">
        <v>2</v>
      </c>
      <c r="I37" s="8" t="s">
        <v>3</v>
      </c>
      <c r="J37" s="8" t="s">
        <v>4</v>
      </c>
      <c r="L37" s="4"/>
      <c r="M37" s="4"/>
      <c r="N37" s="4"/>
      <c r="O37" s="4"/>
      <c r="Q37" s="4"/>
      <c r="R37" s="4"/>
      <c r="S37" s="4"/>
      <c r="T37" s="4"/>
    </row>
    <row r="38" spans="2:20" ht="75" x14ac:dyDescent="0.25">
      <c r="B38" s="2" t="s">
        <v>20</v>
      </c>
      <c r="C38" s="1">
        <v>361</v>
      </c>
      <c r="D38" s="1">
        <v>399</v>
      </c>
      <c r="E38" s="1">
        <f>D38+C38</f>
        <v>760</v>
      </c>
      <c r="G38" s="9" t="s">
        <v>20</v>
      </c>
      <c r="H38" s="8">
        <v>437</v>
      </c>
      <c r="I38" s="8">
        <v>483</v>
      </c>
      <c r="J38" s="8">
        <f>I38+H38</f>
        <v>920</v>
      </c>
      <c r="L38" s="5"/>
      <c r="M38" s="4"/>
      <c r="N38" s="4"/>
      <c r="O38" s="4"/>
      <c r="Q38" s="5"/>
      <c r="R38" s="4"/>
      <c r="S38" s="4"/>
      <c r="T38" s="4"/>
    </row>
    <row r="39" spans="2:20" x14ac:dyDescent="0.25">
      <c r="B39" s="6" t="s">
        <v>21</v>
      </c>
      <c r="C39" s="6">
        <v>33</v>
      </c>
      <c r="D39" s="6">
        <v>33</v>
      </c>
      <c r="E39" s="6">
        <f>D39+C39</f>
        <v>66</v>
      </c>
      <c r="F39" s="7"/>
      <c r="G39" s="6" t="s">
        <v>21</v>
      </c>
      <c r="H39" s="6">
        <v>0</v>
      </c>
      <c r="I39" s="6">
        <v>0</v>
      </c>
      <c r="J39" s="6">
        <v>40</v>
      </c>
      <c r="L39" s="4"/>
      <c r="M39" s="4"/>
      <c r="N39" s="4"/>
      <c r="O39" s="4"/>
      <c r="Q39" s="4"/>
      <c r="R39" s="4"/>
      <c r="S39" s="4"/>
      <c r="T39" s="4"/>
    </row>
    <row r="40" spans="2:20" x14ac:dyDescent="0.25">
      <c r="B40" s="1" t="s">
        <v>14</v>
      </c>
      <c r="C40" s="1">
        <f>C38-C39</f>
        <v>328</v>
      </c>
      <c r="D40" s="1">
        <f>D38-D39</f>
        <v>366</v>
      </c>
      <c r="E40" s="1">
        <f>D40+C40</f>
        <v>694</v>
      </c>
      <c r="G40" s="8" t="s">
        <v>14</v>
      </c>
      <c r="H40" s="8">
        <f>H38-H39</f>
        <v>437</v>
      </c>
      <c r="I40" s="8">
        <f>I38-I39</f>
        <v>483</v>
      </c>
      <c r="J40" s="8">
        <f>I40+H40</f>
        <v>920</v>
      </c>
      <c r="L40" s="4"/>
      <c r="M40" s="4"/>
      <c r="N40" s="4"/>
      <c r="O40" s="4"/>
      <c r="Q40" s="4"/>
      <c r="R40" s="4"/>
      <c r="S40" s="4"/>
      <c r="T40" s="4"/>
    </row>
    <row r="41" spans="2:20" x14ac:dyDescent="0.25">
      <c r="B41" s="6" t="s">
        <v>1</v>
      </c>
      <c r="C41" s="6">
        <v>20</v>
      </c>
      <c r="D41" s="6">
        <v>22</v>
      </c>
      <c r="E41" s="6">
        <f>C41+D41</f>
        <v>42</v>
      </c>
      <c r="F41" s="7"/>
      <c r="G41" s="6" t="s">
        <v>1</v>
      </c>
      <c r="H41" s="6">
        <v>20</v>
      </c>
      <c r="I41" s="6">
        <v>22</v>
      </c>
      <c r="J41" s="6">
        <v>40</v>
      </c>
      <c r="L41" s="4"/>
      <c r="M41" s="4"/>
      <c r="N41" s="4"/>
      <c r="O41" s="4"/>
      <c r="Q41" s="4"/>
      <c r="R41" s="4"/>
      <c r="S41" s="4"/>
      <c r="T41" s="4"/>
    </row>
    <row r="42" spans="2:20" x14ac:dyDescent="0.25">
      <c r="B42" s="6" t="s">
        <v>5</v>
      </c>
      <c r="C42" s="6">
        <v>0</v>
      </c>
      <c r="D42" s="6">
        <v>0</v>
      </c>
      <c r="E42" s="6">
        <f>D42+C42</f>
        <v>0</v>
      </c>
      <c r="F42" s="7"/>
      <c r="G42" s="6" t="s">
        <v>5</v>
      </c>
      <c r="H42" s="6">
        <v>0</v>
      </c>
      <c r="I42" s="6">
        <v>0</v>
      </c>
      <c r="J42" s="6">
        <f>I42+H42</f>
        <v>0</v>
      </c>
      <c r="L42" s="4"/>
      <c r="M42" s="4"/>
      <c r="N42" s="4"/>
      <c r="O42" s="4"/>
      <c r="Q42" s="4"/>
      <c r="R42" s="4"/>
      <c r="S42" s="4"/>
      <c r="T42" s="4"/>
    </row>
    <row r="43" spans="2:20" x14ac:dyDescent="0.25">
      <c r="B43" s="6" t="s">
        <v>6</v>
      </c>
      <c r="C43" s="6">
        <v>19</v>
      </c>
      <c r="D43" s="6">
        <v>21</v>
      </c>
      <c r="E43" s="6">
        <f>C43+D43</f>
        <v>40</v>
      </c>
      <c r="F43" s="7"/>
      <c r="G43" s="6" t="s">
        <v>6</v>
      </c>
      <c r="H43" s="6">
        <v>19</v>
      </c>
      <c r="I43" s="6">
        <v>21</v>
      </c>
      <c r="J43" s="6">
        <v>40</v>
      </c>
      <c r="L43" s="4"/>
      <c r="M43" s="4"/>
      <c r="N43" s="4"/>
      <c r="O43" s="4"/>
      <c r="Q43" s="4"/>
      <c r="R43" s="4"/>
      <c r="S43" s="4"/>
      <c r="T43" s="4"/>
    </row>
    <row r="44" spans="2:20" x14ac:dyDescent="0.25">
      <c r="B44" s="1" t="s">
        <v>7</v>
      </c>
      <c r="C44" s="1">
        <f>(C43/C41)*100</f>
        <v>95</v>
      </c>
      <c r="D44" s="1">
        <f>(D43/D41)*100</f>
        <v>95.454545454545453</v>
      </c>
      <c r="E44" s="1">
        <f>(E43/E41)*100</f>
        <v>95.238095238095227</v>
      </c>
      <c r="G44" s="8" t="s">
        <v>7</v>
      </c>
      <c r="H44" s="8">
        <f>(H43/H41)*100</f>
        <v>95</v>
      </c>
      <c r="I44" s="8">
        <f>(I43/I41)*100</f>
        <v>95.454545454545453</v>
      </c>
      <c r="J44" s="8">
        <f>(J43/J41)*100</f>
        <v>100</v>
      </c>
      <c r="L44" s="4"/>
      <c r="M44" s="4"/>
      <c r="N44" s="4"/>
      <c r="O44" s="4"/>
      <c r="Q44" s="4"/>
      <c r="R44" s="4"/>
      <c r="S44" s="4"/>
      <c r="T44" s="4"/>
    </row>
    <row r="45" spans="2:20" x14ac:dyDescent="0.25">
      <c r="B45" s="1" t="s">
        <v>8</v>
      </c>
      <c r="C45" s="1">
        <f>C40/E36</f>
        <v>17.263157894736842</v>
      </c>
      <c r="D45" s="1">
        <f>D40/E36</f>
        <v>19.263157894736842</v>
      </c>
      <c r="E45" s="1">
        <f>E40/E36</f>
        <v>36.526315789473685</v>
      </c>
      <c r="G45" s="8" t="s">
        <v>8</v>
      </c>
      <c r="H45" s="8">
        <f>H40/J36</f>
        <v>19</v>
      </c>
      <c r="I45" s="8">
        <f>I40/J36</f>
        <v>21</v>
      </c>
      <c r="J45" s="8">
        <f>J40/J36</f>
        <v>40</v>
      </c>
      <c r="L45" s="4"/>
      <c r="M45" s="4"/>
      <c r="N45" s="4"/>
      <c r="O45" s="4"/>
      <c r="Q45" s="4"/>
      <c r="R45" s="4"/>
      <c r="S45" s="4"/>
      <c r="T45" s="4"/>
    </row>
    <row r="46" spans="2:20" x14ac:dyDescent="0.25">
      <c r="B46" s="1" t="s">
        <v>9</v>
      </c>
      <c r="C46" s="1">
        <f>(C45/C41)*100</f>
        <v>86.31578947368422</v>
      </c>
      <c r="D46" s="1">
        <f>(D45/D43)*100</f>
        <v>91.729323308270679</v>
      </c>
      <c r="E46" s="1">
        <f>(E45/E43)*100</f>
        <v>91.31578947368422</v>
      </c>
      <c r="G46" s="8" t="s">
        <v>9</v>
      </c>
      <c r="H46" s="8">
        <f>(H45/H41)*100</f>
        <v>95</v>
      </c>
      <c r="I46" s="8">
        <f>(I45/I43)*100</f>
        <v>100</v>
      </c>
      <c r="J46" s="8">
        <f>(J45/J43)*100</f>
        <v>100</v>
      </c>
      <c r="L46" s="4"/>
      <c r="M46" s="4"/>
      <c r="N46" s="4"/>
      <c r="O46" s="4"/>
      <c r="Q46" s="4"/>
      <c r="R46" s="4"/>
      <c r="S46" s="4"/>
      <c r="T46" s="4"/>
    </row>
    <row r="47" spans="2:20" x14ac:dyDescent="0.25">
      <c r="B47" s="1" t="s">
        <v>10</v>
      </c>
      <c r="C47" s="1">
        <v>0</v>
      </c>
      <c r="D47" s="1">
        <v>0</v>
      </c>
      <c r="E47" s="1">
        <f>D47+C47</f>
        <v>0</v>
      </c>
      <c r="G47" s="8" t="s">
        <v>10</v>
      </c>
      <c r="H47" s="8">
        <v>0</v>
      </c>
      <c r="I47" s="8">
        <v>0</v>
      </c>
      <c r="J47" s="8">
        <f>I47+H47</f>
        <v>0</v>
      </c>
      <c r="L47" s="4"/>
      <c r="M47" s="4"/>
      <c r="N47" s="4"/>
      <c r="O47" s="4"/>
      <c r="Q47" s="4"/>
      <c r="R47" s="4"/>
      <c r="S47" s="4"/>
      <c r="T47" s="4"/>
    </row>
    <row r="48" spans="2:20" x14ac:dyDescent="0.25">
      <c r="B48" s="1" t="s">
        <v>11</v>
      </c>
      <c r="C48" s="1">
        <v>0</v>
      </c>
      <c r="D48" s="1">
        <v>0</v>
      </c>
      <c r="E48" s="1">
        <f>C48+D48</f>
        <v>0</v>
      </c>
      <c r="G48" s="8" t="s">
        <v>11</v>
      </c>
      <c r="H48" s="8">
        <v>0</v>
      </c>
      <c r="I48" s="8">
        <v>0</v>
      </c>
      <c r="J48" s="8">
        <f>H48+I48</f>
        <v>0</v>
      </c>
      <c r="L48" s="4"/>
      <c r="M48" s="4"/>
      <c r="N48" s="4"/>
      <c r="O48" s="4"/>
      <c r="Q48" s="4"/>
      <c r="R48" s="4"/>
      <c r="S48" s="4"/>
      <c r="T48" s="4"/>
    </row>
    <row r="49" spans="2:20" x14ac:dyDescent="0.25">
      <c r="B49" s="1" t="s">
        <v>12</v>
      </c>
      <c r="C49" s="1">
        <v>0</v>
      </c>
      <c r="D49" s="1">
        <v>0</v>
      </c>
      <c r="E49" s="1">
        <f>D49+C49</f>
        <v>0</v>
      </c>
      <c r="G49" s="8" t="s">
        <v>12</v>
      </c>
      <c r="H49" s="8">
        <v>0</v>
      </c>
      <c r="I49" s="8">
        <v>0</v>
      </c>
      <c r="J49" s="8">
        <f>I49+H49</f>
        <v>0</v>
      </c>
      <c r="L49" s="4"/>
      <c r="M49" s="4"/>
      <c r="N49" s="4"/>
      <c r="O49" s="4"/>
      <c r="Q49" s="4"/>
      <c r="R49" s="4"/>
      <c r="S49" s="4"/>
      <c r="T49" s="4"/>
    </row>
    <row r="50" spans="2:20" x14ac:dyDescent="0.25">
      <c r="B50" s="1" t="s">
        <v>13</v>
      </c>
      <c r="C50" s="1">
        <v>1</v>
      </c>
      <c r="D50" s="1">
        <v>0</v>
      </c>
      <c r="E50" s="1">
        <f>C50+D50</f>
        <v>1</v>
      </c>
      <c r="G50" s="8" t="s">
        <v>13</v>
      </c>
      <c r="H50" s="8">
        <v>0</v>
      </c>
      <c r="I50" s="8">
        <v>0</v>
      </c>
      <c r="J50" s="8">
        <f>H50+I50</f>
        <v>0</v>
      </c>
      <c r="L50" s="4"/>
      <c r="M50" s="4"/>
      <c r="N50" s="4"/>
      <c r="O50" s="4"/>
      <c r="Q50" s="4"/>
      <c r="R50" s="4"/>
      <c r="S50" s="4"/>
      <c r="T50" s="4"/>
    </row>
    <row r="53" spans="2:20" x14ac:dyDescent="0.25">
      <c r="G53" s="10"/>
      <c r="H53" s="10"/>
      <c r="I53" s="10"/>
      <c r="J53" s="4"/>
    </row>
    <row r="54" spans="2:20" x14ac:dyDescent="0.25">
      <c r="G54" s="4"/>
      <c r="H54" s="4"/>
      <c r="I54" s="4"/>
      <c r="J54" s="4"/>
    </row>
    <row r="55" spans="2:20" x14ac:dyDescent="0.25">
      <c r="G55" s="5"/>
      <c r="H55" s="4"/>
      <c r="I55" s="4"/>
      <c r="J55" s="4"/>
    </row>
    <row r="56" spans="2:20" x14ac:dyDescent="0.25">
      <c r="G56" s="4"/>
      <c r="H56" s="4"/>
      <c r="I56" s="4"/>
      <c r="J56" s="4"/>
    </row>
    <row r="57" spans="2:20" x14ac:dyDescent="0.25">
      <c r="G57" s="4"/>
      <c r="H57" s="4"/>
      <c r="I57" s="4"/>
      <c r="J57" s="4"/>
    </row>
    <row r="58" spans="2:20" x14ac:dyDescent="0.25">
      <c r="G58" s="4"/>
      <c r="H58" s="4"/>
      <c r="I58" s="4"/>
      <c r="J58" s="4"/>
    </row>
    <row r="59" spans="2:20" x14ac:dyDescent="0.25">
      <c r="G59" s="4"/>
      <c r="H59" s="4"/>
      <c r="I59" s="4"/>
      <c r="J59" s="4"/>
    </row>
    <row r="60" spans="2:20" x14ac:dyDescent="0.25">
      <c r="G60" s="4"/>
      <c r="H60" s="4"/>
      <c r="I60" s="4"/>
      <c r="J60" s="4"/>
    </row>
    <row r="61" spans="2:20" x14ac:dyDescent="0.25">
      <c r="G61" s="4"/>
      <c r="H61" s="4"/>
      <c r="I61" s="4"/>
      <c r="J61" s="4"/>
    </row>
    <row r="62" spans="2:20" x14ac:dyDescent="0.25">
      <c r="G62" s="4"/>
      <c r="H62" s="4"/>
      <c r="I62" s="4"/>
      <c r="J62" s="4"/>
    </row>
    <row r="63" spans="2:20" x14ac:dyDescent="0.25">
      <c r="G63" s="4"/>
      <c r="H63" s="4"/>
      <c r="I63" s="4"/>
      <c r="J63" s="4"/>
    </row>
    <row r="64" spans="2:20" x14ac:dyDescent="0.25">
      <c r="G64" s="4"/>
      <c r="H64" s="4"/>
      <c r="I64" s="4"/>
      <c r="J64" s="4"/>
    </row>
    <row r="65" spans="7:10" x14ac:dyDescent="0.25">
      <c r="G65" s="4"/>
      <c r="H65" s="4"/>
      <c r="I65" s="4"/>
      <c r="J65" s="4"/>
    </row>
    <row r="66" spans="7:10" x14ac:dyDescent="0.25">
      <c r="G66" s="4"/>
      <c r="H66" s="4"/>
      <c r="I66" s="4"/>
      <c r="J66" s="4"/>
    </row>
    <row r="67" spans="7:10" x14ac:dyDescent="0.25">
      <c r="G67" s="4"/>
      <c r="H67" s="4"/>
      <c r="I67" s="4"/>
      <c r="J67" s="4"/>
    </row>
  </sheetData>
  <mergeCells count="13">
    <mergeCell ref="Q36:S36"/>
    <mergeCell ref="G53:I53"/>
    <mergeCell ref="B36:D36"/>
    <mergeCell ref="G36:I36"/>
    <mergeCell ref="B2:D2"/>
    <mergeCell ref="G2:I2"/>
    <mergeCell ref="L2:N2"/>
    <mergeCell ref="L36:N36"/>
    <mergeCell ref="Q2:S2"/>
    <mergeCell ref="B19:D19"/>
    <mergeCell ref="G19:I19"/>
    <mergeCell ref="L19:N19"/>
    <mergeCell ref="Q19:S19"/>
  </mergeCells>
  <pageMargins left="0.70866141732283472" right="0.70866141732283472" top="0.74803149606299213" bottom="0.74803149606299213" header="0.31496062992125984" footer="0.31496062992125984"/>
  <pageSetup paperSize="14" scale="48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Paolo Jarilla</dc:creator>
  <cp:lastModifiedBy>JESSICA ORTEGA</cp:lastModifiedBy>
  <cp:lastPrinted>2026-03-19T01:58:57Z</cp:lastPrinted>
  <dcterms:created xsi:type="dcterms:W3CDTF">2024-05-10T00:02:20Z</dcterms:created>
  <dcterms:modified xsi:type="dcterms:W3CDTF">2026-03-19T06:15:13Z</dcterms:modified>
</cp:coreProperties>
</file>